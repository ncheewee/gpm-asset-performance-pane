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37d69872a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Data" sheetId="1" r:id="Ra26f274bfd804ed4"/>
    <x:sheet xmlns:r="http://schemas.openxmlformats.org/officeDocument/2006/relationships" name="Field Guide" sheetId="2" r:id="Ra427ef6e56e6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5B4300"/>
      <x:name val="Carlito"/>
    </x:font>
    <x:font>
      <x:b/>
      <x:sz val="11"/>
      <x:color rgb="FF1F4E78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8E8"/>
      </x:patternFill>
    </x:fill>
    <x:fill>
      <x:patternFill patternType="solid">
        <x:fgColor rgb="FFDDEBF7"/>
      </x:patternFill>
    </x:fill>
    <x:fill>
      <x:patternFill patternType="solid">
        <x:fgColor rgb="FFEEF5FB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1" xfId="0" applyNumberFormat="1" applyFont="1" applyFill="1" applyBorder="1"/>
    <x:xf numFmtId="0" fontId="2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6" borderId="1" xfId="0" applyNumberFormat="1" applyFont="1" applyFill="1" applyBorder="1"/>
    <x:xf numFmtId="202" fontId="0" fillId="4" borderId="1" xfId="0" applyNumberFormat="1" applyFont="1" applyFill="1" applyBorder="1"/>
    <x:xf numFmtId="200" fontId="0" fillId="6" borderId="1" xfId="0" applyNumberFormat="1" applyFont="1" applyFill="1" applyBorder="1"/>
    <x:xf numFmtId="0" fontId="3" fillId="3" borderId="1" xfId="0" applyNumberFormat="1" applyFont="1" applyFill="1" applyBorder="1" applyAlignment="1">
      <x:alignment wrapText="0"/>
    </x:xf>
    <x:xf numFmtId="0" fontId="4" fillId="5" borderId="1" xfId="0" applyNumberFormat="1" applyFont="1" applyFill="1" applyBorder="1" applyAlignment="1">
      <x:alignment wrapText="0"/>
    </x:xf>
    <x:xf numFmtId="0" fontId="0" fillId="4" borderId="1" xfId="0" applyNumberFormat="1" applyFont="1" applyFill="1" applyBorder="1" applyAlignment="1">
      <x:alignment wrapText="0"/>
    </x:xf>
    <x:xf numFmtId="200" fontId="0" fillId="4" borderId="1" xfId="0" applyNumberFormat="1" applyFont="1" applyFill="1" applyBorder="1" applyAlignment="1">
      <x:alignment wrapText="0"/>
    </x:xf>
    <x:xf numFmtId="201" fontId="0" fillId="4" borderId="1" xfId="0" applyNumberFormat="1" applyFont="1" applyFill="1" applyBorder="1" applyAlignment="1">
      <x:alignment wrapText="0"/>
    </x:xf>
    <x:xf numFmtId="202" fontId="0" fillId="6" borderId="1" xfId="0" applyNumberFormat="1" applyFont="1" applyFill="1" applyBorder="1" applyAlignment="1">
      <x:alignment wrapText="0"/>
    </x:xf>
    <x:xf numFmtId="202" fontId="0" fillId="4" borderId="1" xfId="0" applyNumberFormat="1" applyFont="1" applyFill="1" applyBorder="1" applyAlignment="1">
      <x:alignment wrapText="0"/>
    </x:xf>
    <x:xf numFmtId="200" fontId="0" fillId="6" borderId="1" xfId="0" applyNumberFormat="1" applyFont="1" applyFill="1" applyBorder="1" applyAlignment="1">
      <x:alignment wrapText="0"/>
    </x:xf>
    <x:xf numFmtId="0" fontId="0" fillId="6" borderId="1" xfId="0" applyNumberFormat="1" applyFont="1" applyFill="1" applyBorder="1" applyAlignment="1">
      <x:alignment wrapText="0"/>
    </x:xf>
    <x:xf numFmtId="0" fontId="5" fillId="0" borderId="1" xfId="0" applyNumberFormat="1" applyFont="1" applyFill="1" applyBorder="1"/>
    <x:xf numFmtId="0" fontId="5" fillId="4" borderId="1" xfId="0" applyNumberFormat="1" applyFont="1" applyFill="1" applyBorder="1"/>
    <x:xf numFmtId="0" fontId="5" fillId="6" borderId="1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4" borderId="1" xfId="0" applyNumberFormat="1" applyFont="1" applyFill="1" applyBorder="1" applyAlignment="1" applyProtection="1">
      <x:alignment wrapText="0"/>
      <x:protection locked="0"/>
    </x:xf>
    <x:xf numFmtId="200" fontId="0" fillId="4" borderId="1" xfId="0" applyNumberFormat="1" applyFont="1" applyFill="1" applyBorder="1" applyAlignment="1" applyProtection="1">
      <x:alignment wrapText="0"/>
      <x:protection locked="0"/>
    </x:xf>
    <x:xf numFmtId="201" fontId="0" fillId="4" borderId="1" xfId="0" applyNumberFormat="1" applyFont="1" applyFill="1" applyBorder="1" applyAlignment="1" applyProtection="1">
      <x:alignment wrapText="0"/>
      <x:protection locked="0"/>
    </x:xf>
    <x:xf numFmtId="202" fontId="0" fillId="4" borderId="1" xfId="0" applyNumberFormat="1" applyFont="1" applyFill="1" applyBorder="1" applyAlignment="1" applyProtection="1">
      <x:alignment wrapText="0"/>
      <x:protection locked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9b7629cac43be" /><Relationship Type="http://schemas.openxmlformats.org/officeDocument/2006/relationships/theme" Target="/xl/theme/theme1.xml" Id="R20e1db8056e447ac" /><Relationship Type="http://schemas.openxmlformats.org/officeDocument/2006/relationships/sharedStrings" Target="/xl/sharedStrings.xml" Id="R4b3f7965e2684ab2" /><Relationship Type="http://schemas.openxmlformats.org/officeDocument/2006/relationships/worksheet" Target="/xl/worksheets/sheet1.xml" Id="Ra26f274bfd804ed4" /><Relationship Type="http://schemas.openxmlformats.org/officeDocument/2006/relationships/worksheet" Target="/xl/worksheets/sheet2.xml" Id="Ra427ef6e56e647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Protection sheet="1" objects="1" scenarios="1" selectLockedCells="0" selectUnlockedCells="1" password="DF4A"/>
  <x:sheetFormatPr defaultRowHeight="15"/>
  <x:cols>
    <x:col min="1" max="1" width="16.670000076293945" hidden="0" customWidth="1"/>
    <x:col min="2" max="2" width="10.670000076293945" hidden="0" customWidth="1"/>
    <x:col min="3" max="3" width="11.5600004196167" hidden="0" customWidth="1"/>
    <x:col min="4" max="4" width="11.5600004196167" hidden="0" customWidth="1"/>
    <x:col min="5" max="5" width="5.889999866485596" hidden="0" customWidth="1"/>
    <x:col min="6" max="6" width="5.889999866485596" hidden="0" customWidth="1"/>
    <x:col min="7" max="7" width="6.559999942779541" hidden="0" customWidth="1"/>
    <x:col min="8" max="8" width="9.890000343322754" hidden="0" customWidth="1"/>
    <x:col min="9" max="9" width="8" hidden="0" customWidth="1"/>
    <x:col min="10" max="10" width="7.889999866485596" hidden="0" customWidth="1"/>
    <x:col min="11" max="11" width="12.220000267028809" hidden="0" customWidth="1"/>
    <x:col min="12" max="12" width="12.109999656677246" hidden="0" customWidth="1"/>
    <x:col min="13" max="13" width="4.889999866485596" hidden="0" customWidth="1"/>
    <x:col min="14" max="14" width="5.329999923706055" hidden="0" customWidth="1"/>
    <x:col min="15" max="15" width="7.78000020980835" hidden="0" customWidth="1"/>
    <x:col min="16" max="16" width="7.21999979019165" hidden="0" customWidth="1"/>
    <x:col min="17" max="17" width="8.329999923706055" hidden="0" customWidth="1"/>
    <x:col min="18" max="18" width="8.220000267028809" hidden="0" customWidth="1"/>
    <x:col min="19" max="19" width="7.889999866485596" hidden="0" customWidth="1"/>
    <x:col min="20" max="20" width="8.220000267028809" hidden="0" customWidth="1"/>
    <x:col min="21" max="21" width="8.220000267028809" hidden="0" customWidth="1"/>
    <x:col min="22" max="22" width="7.78000020980835" hidden="0" customWidth="1"/>
    <x:col min="23" max="23" width="7.889999866485596" hidden="0" customWidth="1"/>
    <x:col min="24" max="24" width="8.4399995803833" hidden="0" customWidth="1"/>
    <x:col min="25" max="25" width="8" hidden="0" customWidth="1"/>
    <x:col min="26" max="26" width="8.670000076293945" hidden="0" customWidth="1"/>
    <x:col min="27" max="27" width="13.329999923706055" hidden="0" customWidth="1"/>
    <x:col min="28" max="28" width="14.5600004196167" hidden="0" customWidth="1"/>
    <x:col min="29" max="29" width="14.220000267028809" hidden="0" customWidth="1"/>
    <x:col min="30" max="30" width="18.110000610351562" hidden="0" customWidth="1"/>
    <x:col min="31" max="31" width="12.109999656677246" hidden="0" customWidth="1"/>
  </x:cols>
  <x:sheetData>
    <x:row r="1">
      <x:c r="A1" s="17" t="str">
        <x:v>name</x:v>
      </x:c>
      <x:c r="B1" s="17" t="str">
        <x:v>label</x:v>
      </x:c>
      <x:c r="C1" s="17" t="str">
        <x:v>country</x:v>
      </x:c>
      <x:c r="D1" s="17" t="str">
        <x:v>type</x:v>
      </x:c>
      <x:c r="E1" s="17" t="str">
        <x:v>gfa</x:v>
      </x:c>
      <x:c r="F1" s="17" t="str">
        <x:v>nla</x:v>
      </x:c>
      <x:c r="G1" s="17" t="str">
        <x:v>opex_m</x:v>
      </x:c>
      <x:c r="H1" s="17" t="str">
        <x:v>energy_gwh</x:v>
      </x:c>
      <x:c r="I1" s="18" t="str">
        <x:v>cost_sqm</x:v>
      </x:c>
      <x:c r="J1" s="18" t="str">
        <x:v>kwh_sqm</x:v>
      </x:c>
      <x:c r="K1" s="17" t="str">
        <x:v>prev_cost_sqm</x:v>
      </x:c>
      <x:c r="L1" s="17" t="str">
        <x:v>prev_kwh_sqm</x:v>
      </x:c>
      <x:c r="M1" s="18" t="str">
        <x:v>score</x:v>
      </x:c>
      <x:c r="N1" s="18" t="str">
        <x:v>status</x:v>
      </x:c>
      <x:c r="O1" s="17" t="str">
        <x:v>trend_jun</x:v>
      </x:c>
      <x:c r="P1" s="17" t="str">
        <x:v>trend_jul</x:v>
      </x:c>
      <x:c r="Q1" s="17" t="str">
        <x:v>trend_aug</x:v>
      </x:c>
      <x:c r="R1" s="17" t="str">
        <x:v>trend_sep</x:v>
      </x:c>
      <x:c r="S1" s="17" t="str">
        <x:v>trend_oct</x:v>
      </x:c>
      <x:c r="T1" s="17" t="str">
        <x:v>trend_nov</x:v>
      </x:c>
      <x:c r="U1" s="17" t="str">
        <x:v>trend_dec</x:v>
      </x:c>
      <x:c r="V1" s="17" t="str">
        <x:v>trend_jan</x:v>
      </x:c>
      <x:c r="W1" s="17" t="str">
        <x:v>trend_feb</x:v>
      </x:c>
      <x:c r="X1" s="17" t="str">
        <x:v>trend_mar</x:v>
      </x:c>
      <x:c r="Y1" s="17" t="str">
        <x:v>trend_apr</x:v>
      </x:c>
      <x:c r="Z1" s="17" t="str">
        <x:v>trend_may</x:v>
      </x:c>
      <x:c r="AA1" s="17" t="str">
        <x:v>cost_energy_pct</x:v>
      </x:c>
      <x:c r="AB1" s="17" t="str">
        <x:v>cost_cleaning_pct</x:v>
      </x:c>
      <x:c r="AC1" s="17" t="str">
        <x:v>cost_security_pct</x:v>
      </x:c>
      <x:c r="AD1" s="17" t="str">
        <x:v>cost_maintenance_pct</x:v>
      </x:c>
      <x:c r="AE1" s="17" t="str">
        <x:v>cost_other_pct</x:v>
      </x:c>
    </x:row>
    <x:row r="2">
      <x:c r="A2" s="32" t="str">
        <x:v>VivoCity</x:v>
      </x:c>
      <x:c r="B2" s="32" t="str">
        <x:v>VivoCity</x:v>
      </x:c>
      <x:c r="C2" s="32" t="str">
        <x:v>Singapore</x:v>
      </x:c>
      <x:c r="D2" s="32" t="str">
        <x:v>Retail</x:v>
      </x:c>
      <x:c r="E2" s="33" t="n">
        <x:v>178000</x:v>
      </x:c>
      <x:c r="F2" s="33" t="n">
        <x:v>142000</x:v>
      </x:c>
      <x:c r="G2" s="34" t="n">
        <x:v>1.84</x:v>
      </x:c>
      <x:c r="H2" s="34" t="n">
        <x:v>4.43</x:v>
      </x:c>
      <x:c r="I2" s="22" t="n">
        <x:f>IF(OR($G2="",$F2=""),"",ROUND($G2*1000000/$F2,2))</x:f>
        <x:v>12.96</x:v>
      </x:c>
      <x:c r="J2" s="22" t="n">
        <x:f>IF(OR($H2="",$F2=""),"",ROUND($H2*1000000/$F2,1))</x:f>
        <x:v>31.2</x:v>
      </x:c>
      <x:c r="K2" s="35" t="n">
        <x:v>12.25</x:v>
      </x:c>
      <x:c r="L2" s="35" t="n">
        <x:v>29.4</x:v>
      </x:c>
      <x:c r="M2" s="24" t="n">
        <x:f>IF(OR(I2="",J2="",K2="",L2=""),"",ROUND(MIN(100,MAX(0,MIN(35,MAX(0,(I2-8)/6*35))+MIN(35,MAX(0,(J2-20)/16*35))+MIN(30,MAX(0,(((I2/K2)-1)+((J2/L2)-1))/0.25*30)))),0))</x:f>
        <x:v>68</x:v>
      </x:c>
      <x:c r="N2" s="25" t="str">
        <x:f>IF($M2="","",IF($M2&gt;=75,"hot",IF($M2&gt;=55,"warn","good")))</x:f>
        <x:v>warn</x:v>
      </x:c>
      <x:c r="O2" s="33" t="n">
        <x:v>48</x:v>
      </x:c>
      <x:c r="P2" s="33" t="n">
        <x:v>45</x:v>
      </x:c>
      <x:c r="Q2" s="33" t="n">
        <x:v>50</x:v>
      </x:c>
      <x:c r="R2" s="33" t="n">
        <x:v>53</x:v>
      </x:c>
      <x:c r="S2" s="33" t="n">
        <x:v>56</x:v>
      </x:c>
      <x:c r="T2" s="33" t="n">
        <x:v>58</x:v>
      </x:c>
      <x:c r="U2" s="33" t="n">
        <x:v>62</x:v>
      </x:c>
      <x:c r="V2" s="33" t="n">
        <x:v>55</x:v>
      </x:c>
      <x:c r="W2" s="33" t="n">
        <x:v>54</x:v>
      </x:c>
      <x:c r="X2" s="33" t="n">
        <x:v>61</x:v>
      </x:c>
      <x:c r="Y2" s="33" t="n">
        <x:v>68</x:v>
      </x:c>
      <x:c r="Z2" s="33" t="n">
        <x:v>72</x:v>
      </x:c>
      <x:c r="AA2" s="33" t="n">
        <x:v>41</x:v>
      </x:c>
      <x:c r="AB2" s="33" t="n">
        <x:v>18</x:v>
      </x:c>
      <x:c r="AC2" s="33" t="n">
        <x:v>15</x:v>
      </x:c>
      <x:c r="AD2" s="33" t="n">
        <x:v>17</x:v>
      </x:c>
      <x:c r="AE2" s="33" t="n">
        <x:v>9</x:v>
      </x:c>
    </x:row>
    <x:row r="3">
      <x:c r="A3" s="32" t="str">
        <x:v>MBC</x:v>
      </x:c>
      <x:c r="B3" s="32" t="str">
        <x:v>MBC</x:v>
      </x:c>
      <x:c r="C3" s="32" t="str">
        <x:v>Singapore</x:v>
      </x:c>
      <x:c r="D3" s="32" t="str">
        <x:v>Office</x:v>
      </x:c>
      <x:c r="E3" s="33" t="n">
        <x:v>268000</x:v>
      </x:c>
      <x:c r="F3" s="33" t="n">
        <x:v>226000</x:v>
      </x:c>
      <x:c r="G3" s="34" t="n">
        <x:v>2.96</x:v>
      </x:c>
      <x:c r="H3" s="34" t="n">
        <x:v>7.81</x:v>
      </x:c>
      <x:c r="I3" s="22" t="n">
        <x:f>IF(OR($G3="",$F3=""),"",ROUND($G3*1000000/$F3,2))</x:f>
        <x:v>13.1</x:v>
      </x:c>
      <x:c r="J3" s="22" t="n">
        <x:f>IF(OR($H3="",$F3=""),"",ROUND($H3*1000000/$F3,1))</x:f>
        <x:v>34.6</x:v>
      </x:c>
      <x:c r="K3" s="35" t="n">
        <x:v>11.95</x:v>
      </x:c>
      <x:c r="L3" s="35" t="n">
        <x:v>30.8</x:v>
      </x:c>
      <x:c r="M3" s="24" t="n">
        <x:f>IF(OR(I3="",J3="",K3="",L3=""),"",ROUND(MIN(100,MAX(0,MIN(35,MAX(0,(I3-8)/6*35))+MIN(35,MAX(0,(J3-20)/16*35))+MIN(30,MAX(0,(((I3/K3)-1)+((J3/L3)-1))/0.25*30)))),0))</x:f>
        <x:v>88</x:v>
      </x:c>
      <x:c r="N3" s="25" t="str">
        <x:f>IF($M3="","",IF($M3&gt;=75,"hot",IF($M3&gt;=55,"warn","good")))</x:f>
        <x:v>hot</x:v>
      </x:c>
      <x:c r="O3" s="33" t="n">
        <x:v>46</x:v>
      </x:c>
      <x:c r="P3" s="33" t="n">
        <x:v>48</x:v>
      </x:c>
      <x:c r="Q3" s="33" t="n">
        <x:v>50</x:v>
      </x:c>
      <x:c r="R3" s="33" t="n">
        <x:v>52</x:v>
      </x:c>
      <x:c r="S3" s="33" t="n">
        <x:v>55</x:v>
      </x:c>
      <x:c r="T3" s="33" t="n">
        <x:v>57</x:v>
      </x:c>
      <x:c r="U3" s="33" t="n">
        <x:v>59</x:v>
      </x:c>
      <x:c r="V3" s="33" t="n">
        <x:v>61</x:v>
      </x:c>
      <x:c r="W3" s="33" t="n">
        <x:v>66</x:v>
      </x:c>
      <x:c r="X3" s="33" t="n">
        <x:v>70</x:v>
      </x:c>
      <x:c r="Y3" s="33" t="n">
        <x:v>79</x:v>
      </x:c>
      <x:c r="Z3" s="33" t="n">
        <x:v>86</x:v>
      </x:c>
      <x:c r="AA3" s="33" t="n">
        <x:v>46</x:v>
      </x:c>
      <x:c r="AB3" s="33" t="n">
        <x:v>14</x:v>
      </x:c>
      <x:c r="AC3" s="33" t="n">
        <x:v>13</x:v>
      </x:c>
      <x:c r="AD3" s="33" t="n">
        <x:v>18</x:v>
      </x:c>
      <x:c r="AE3" s="33" t="n">
        <x:v>9</x:v>
      </x:c>
    </x:row>
    <x:row r="4">
      <x:c r="A4" s="32" t="str">
        <x:v>ARC</x:v>
      </x:c>
      <x:c r="B4" s="32" t="str">
        <x:v>ARC</x:v>
      </x:c>
      <x:c r="C4" s="32" t="str">
        <x:v>Singapore</x:v>
      </x:c>
      <x:c r="D4" s="32" t="str">
        <x:v>Retail</x:v>
      </x:c>
      <x:c r="E4" s="33" t="n">
        <x:v>74000</x:v>
      </x:c>
      <x:c r="F4" s="33" t="n">
        <x:v>58000</x:v>
      </x:c>
      <x:c r="G4" s="34" t="n">
        <x:v>0.72</x:v>
      </x:c>
      <x:c r="H4" s="34" t="n">
        <x:v>1.31</x:v>
      </x:c>
      <x:c r="I4" s="22" t="n">
        <x:f>IF(OR($G4="",$F4=""),"",ROUND($G4*1000000/$F4,2))</x:f>
        <x:v>12.41</x:v>
      </x:c>
      <x:c r="J4" s="22" t="n">
        <x:f>IF(OR($H4="",$F4=""),"",ROUND($H4*1000000/$F4,1))</x:f>
        <x:v>22.6</x:v>
      </x:c>
      <x:c r="K4" s="35" t="n">
        <x:v>11.32</x:v>
      </x:c>
      <x:c r="L4" s="35" t="n">
        <x:v>20.1</x:v>
      </x:c>
      <x:c r="M4" s="24" t="n">
        <x:f>IF(OR(I4="",J4="",K4="",L4=""),"",ROUND(MIN(100,MAX(0,MIN(35,MAX(0,(I4-8)/6*35))+MIN(35,MAX(0,(J4-20)/16*35))+MIN(30,MAX(0,(((I4/K4)-1)+((J4/L4)-1))/0.25*30)))),0))</x:f>
        <x:v>58</x:v>
      </x:c>
      <x:c r="N4" s="25" t="str">
        <x:f>IF($M4="","",IF($M4&gt;=75,"hot",IF($M4&gt;=55,"warn","good")))</x:f>
        <x:v>warn</x:v>
      </x:c>
      <x:c r="O4" s="33" t="n">
        <x:v>40</x:v>
      </x:c>
      <x:c r="P4" s="33" t="n">
        <x:v>42</x:v>
      </x:c>
      <x:c r="Q4" s="33" t="n">
        <x:v>47</x:v>
      </x:c>
      <x:c r="R4" s="33" t="n">
        <x:v>48</x:v>
      </x:c>
      <x:c r="S4" s="33" t="n">
        <x:v>52</x:v>
      </x:c>
      <x:c r="T4" s="33" t="n">
        <x:v>56</x:v>
      </x:c>
      <x:c r="U4" s="33" t="n">
        <x:v>58</x:v>
      </x:c>
      <x:c r="V4" s="33" t="n">
        <x:v>61</x:v>
      </x:c>
      <x:c r="W4" s="33" t="n">
        <x:v>59</x:v>
      </x:c>
      <x:c r="X4" s="33" t="n">
        <x:v>66</x:v>
      </x:c>
      <x:c r="Y4" s="33" t="n">
        <x:v>72</x:v>
      </x:c>
      <x:c r="Z4" s="33" t="n">
        <x:v>78</x:v>
      </x:c>
      <x:c r="AA4" s="33" t="n">
        <x:v>38</x:v>
      </x:c>
      <x:c r="AB4" s="33" t="n">
        <x:v>20</x:v>
      </x:c>
      <x:c r="AC4" s="33" t="n">
        <x:v>16</x:v>
      </x:c>
      <x:c r="AD4" s="33" t="n">
        <x:v>18</x:v>
      </x:c>
      <x:c r="AE4" s="33" t="n">
        <x:v>8</x:v>
      </x:c>
    </x:row>
    <x:row r="5">
      <x:c r="A5" s="32" t="str">
        <x:v>mTower</x:v>
      </x:c>
      <x:c r="B5" s="32" t="str">
        <x:v>mTower</x:v>
      </x:c>
      <x:c r="C5" s="32" t="str">
        <x:v>Singapore</x:v>
      </x:c>
      <x:c r="D5" s="32" t="str">
        <x:v>Office</x:v>
      </x:c>
      <x:c r="E5" s="33" t="n">
        <x:v>96000</x:v>
      </x:c>
      <x:c r="F5" s="33" t="n">
        <x:v>79000</x:v>
      </x:c>
      <x:c r="G5" s="34" t="n">
        <x:v>0.91</x:v>
      </x:c>
      <x:c r="H5" s="34" t="n">
        <x:v>1.68</x:v>
      </x:c>
      <x:c r="I5" s="22" t="n">
        <x:f>IF(OR($G5="",$F5=""),"",ROUND($G5*1000000/$F5,2))</x:f>
        <x:v>11.52</x:v>
      </x:c>
      <x:c r="J5" s="22" t="n">
        <x:f>IF(OR($H5="",$F5=""),"",ROUND($H5*1000000/$F5,1))</x:f>
        <x:v>21.3</x:v>
      </x:c>
      <x:c r="K5" s="35" t="n">
        <x:v>11.1</x:v>
      </x:c>
      <x:c r="L5" s="35" t="n">
        <x:v>20.4</x:v>
      </x:c>
      <x:c r="M5" s="24" t="n">
        <x:f>IF(OR(I5="",J5="",K5="",L5=""),"",ROUND(MIN(100,MAX(0,MIN(35,MAX(0,(I5-8)/6*35))+MIN(35,MAX(0,(J5-20)/16*35))+MIN(30,MAX(0,(((I5/K5)-1)+((J5/L5)-1))/0.25*30)))),0))</x:f>
        <x:v>33</x:v>
      </x:c>
      <x:c r="N5" s="25" t="str">
        <x:f>IF($M5="","",IF($M5&gt;=75,"hot",IF($M5&gt;=55,"warn","good")))</x:f>
        <x:v>good</x:v>
      </x:c>
      <x:c r="O5" s="33" t="n">
        <x:v>42</x:v>
      </x:c>
      <x:c r="P5" s="33" t="n">
        <x:v>41</x:v>
      </x:c>
      <x:c r="Q5" s="33" t="n">
        <x:v>43</x:v>
      </x:c>
      <x:c r="R5" s="33" t="n">
        <x:v>45</x:v>
      </x:c>
      <x:c r="S5" s="33" t="n">
        <x:v>47</x:v>
      </x:c>
      <x:c r="T5" s="33" t="n">
        <x:v>49</x:v>
      </x:c>
      <x:c r="U5" s="33" t="n">
        <x:v>50</x:v>
      </x:c>
      <x:c r="V5" s="33" t="n">
        <x:v>52</x:v>
      </x:c>
      <x:c r="W5" s="33" t="n">
        <x:v>54</x:v>
      </x:c>
      <x:c r="X5" s="33" t="n">
        <x:v>57</x:v>
      </x:c>
      <x:c r="Y5" s="33" t="n">
        <x:v>60</x:v>
      </x:c>
      <x:c r="Z5" s="33" t="n">
        <x:v>63</x:v>
      </x:c>
      <x:c r="AA5" s="33" t="n">
        <x:v>35</x:v>
      </x:c>
      <x:c r="AB5" s="33" t="n">
        <x:v>17</x:v>
      </x:c>
      <x:c r="AC5" s="33" t="n">
        <x:v>18</x:v>
      </x:c>
      <x:c r="AD5" s="33" t="n">
        <x:v>20</x:v>
      </x:c>
      <x:c r="AE5" s="33" t="n">
        <x:v>10</x:v>
      </x:c>
    </x:row>
    <x:row r="6">
      <x:c r="A6" s="32" t="str">
        <x:v>Japan Logistics A</x:v>
      </x:c>
      <x:c r="B6" s="32" t="str">
        <x:v>J-Log</x:v>
      </x:c>
      <x:c r="C6" s="32" t="str">
        <x:v>Japan</x:v>
      </x:c>
      <x:c r="D6" s="32" t="str">
        <x:v>Logistics</x:v>
      </x:c>
      <x:c r="E6" s="33" t="n">
        <x:v>138000</x:v>
      </x:c>
      <x:c r="F6" s="33" t="n">
        <x:v>124000</x:v>
      </x:c>
      <x:c r="G6" s="34" t="n">
        <x:v>1.08</x:v>
      </x:c>
      <x:c r="H6" s="34" t="n">
        <x:v>3.09</x:v>
      </x:c>
      <x:c r="I6" s="22" t="n">
        <x:f>IF(OR($G6="",$F6=""),"",ROUND($G6*1000000/$F6,2))</x:f>
        <x:v>8.71</x:v>
      </x:c>
      <x:c r="J6" s="22" t="n">
        <x:f>IF(OR($H6="",$F6=""),"",ROUND($H6*1000000/$F6,1))</x:f>
        <x:v>24.9</x:v>
      </x:c>
      <x:c r="K6" s="35" t="n">
        <x:v>8.92</x:v>
      </x:c>
      <x:c r="L6" s="35" t="n">
        <x:v>26.1</x:v>
      </x:c>
      <x:c r="M6" s="24" t="n">
        <x:f>IF(OR(I6="",J6="",K6="",L6=""),"",ROUND(MIN(100,MAX(0,MIN(35,MAX(0,(I6-8)/6*35))+MIN(35,MAX(0,(J6-20)/16*35))+MIN(30,MAX(0,(((I6/K6)-1)+((J6/L6)-1))/0.25*30)))),0))</x:f>
        <x:v>15</x:v>
      </x:c>
      <x:c r="N6" s="25" t="str">
        <x:f>IF($M6="","",IF($M6&gt;=75,"hot",IF($M6&gt;=55,"warn","good")))</x:f>
        <x:v>good</x:v>
      </x:c>
      <x:c r="O6" s="33" t="n">
        <x:v>55</x:v>
      </x:c>
      <x:c r="P6" s="33" t="n">
        <x:v>53</x:v>
      </x:c>
      <x:c r="Q6" s="33" t="n">
        <x:v>51</x:v>
      </x:c>
      <x:c r="R6" s="33" t="n">
        <x:v>50</x:v>
      </x:c>
      <x:c r="S6" s="33" t="n">
        <x:v>48</x:v>
      </x:c>
      <x:c r="T6" s="33" t="n">
        <x:v>47</x:v>
      </x:c>
      <x:c r="U6" s="33" t="n">
        <x:v>46</x:v>
      </x:c>
      <x:c r="V6" s="33" t="n">
        <x:v>45</x:v>
      </x:c>
      <x:c r="W6" s="33" t="n">
        <x:v>44</x:v>
      </x:c>
      <x:c r="X6" s="33" t="n">
        <x:v>43</x:v>
      </x:c>
      <x:c r="Y6" s="33" t="n">
        <x:v>42</x:v>
      </x:c>
      <x:c r="Z6" s="33" t="n">
        <x:v>41</x:v>
      </x:c>
      <x:c r="AA6" s="33" t="n">
        <x:v>32</x:v>
      </x:c>
      <x:c r="AB6" s="33" t="n">
        <x:v>10</x:v>
      </x:c>
      <x:c r="AC6" s="33" t="n">
        <x:v>11</x:v>
      </x:c>
      <x:c r="AD6" s="33" t="n">
        <x:v>29</x:v>
      </x:c>
      <x:c r="AE6" s="33" t="n">
        <x:v>18</x:v>
      </x:c>
    </x:row>
    <x:row r="7">
      <x:c r="A7" s="32" t="str">
        <x:v>Japan Office Cluster</x:v>
      </x:c>
      <x:c r="B7" s="32" t="str">
        <x:v>J-Office</x:v>
      </x:c>
      <x:c r="C7" s="32" t="str">
        <x:v>Japan</x:v>
      </x:c>
      <x:c r="D7" s="32" t="str">
        <x:v>Office</x:v>
      </x:c>
      <x:c r="E7" s="33" t="n">
        <x:v>122000</x:v>
      </x:c>
      <x:c r="F7" s="33" t="n">
        <x:v>107000</x:v>
      </x:c>
      <x:c r="G7" s="34" t="n">
        <x:v>0.91</x:v>
      </x:c>
      <x:c r="H7" s="34" t="n">
        <x:v>3.28</x:v>
      </x:c>
      <x:c r="I7" s="22" t="n">
        <x:f>IF(OR($G7="",$F7=""),"",ROUND($G7*1000000/$F7,2))</x:f>
        <x:v>8.5</x:v>
      </x:c>
      <x:c r="J7" s="22" t="n">
        <x:f>IF(OR($H7="",$F7=""),"",ROUND($H7*1000000/$F7,1))</x:f>
        <x:v>30.7</x:v>
      </x:c>
      <x:c r="K7" s="35" t="n">
        <x:v>8.3</x:v>
      </x:c>
      <x:c r="L7" s="35" t="n">
        <x:v>30.1</x:v>
      </x:c>
      <x:c r="M7" s="24" t="n">
        <x:f>IF(OR(I7="",J7="",K7="",L7=""),"",ROUND(MIN(100,MAX(0,MIN(35,MAX(0,(I7-8)/6*35))+MIN(35,MAX(0,(J7-20)/16*35))+MIN(30,MAX(0,(((I7/K7)-1)+((J7/L7)-1))/0.25*30)))),0))</x:f>
        <x:v>32</x:v>
      </x:c>
      <x:c r="N7" s="25" t="str">
        <x:f>IF($M7="","",IF($M7&gt;=75,"hot",IF($M7&gt;=55,"warn","good")))</x:f>
        <x:v>good</x:v>
      </x:c>
      <x:c r="O7" s="33" t="n">
        <x:v>45</x:v>
      </x:c>
      <x:c r="P7" s="33" t="n">
        <x:v>46</x:v>
      </x:c>
      <x:c r="Q7" s="33" t="n">
        <x:v>47</x:v>
      </x:c>
      <x:c r="R7" s="33" t="n">
        <x:v>48</x:v>
      </x:c>
      <x:c r="S7" s="33" t="n">
        <x:v>49</x:v>
      </x:c>
      <x:c r="T7" s="33" t="n">
        <x:v>50</x:v>
      </x:c>
      <x:c r="U7" s="33" t="n">
        <x:v>52</x:v>
      </x:c>
      <x:c r="V7" s="33" t="n">
        <x:v>53</x:v>
      </x:c>
      <x:c r="W7" s="33" t="n">
        <x:v>55</x:v>
      </x:c>
      <x:c r="X7" s="33" t="n">
        <x:v>57</x:v>
      </x:c>
      <x:c r="Y7" s="33" t="n">
        <x:v>59</x:v>
      </x:c>
      <x:c r="Z7" s="33" t="n">
        <x:v>59</x:v>
      </x:c>
      <x:c r="AA7" s="33" t="n">
        <x:v>39</x:v>
      </x:c>
      <x:c r="AB7" s="33" t="n">
        <x:v>13</x:v>
      </x:c>
      <x:c r="AC7" s="33" t="n">
        <x:v>13</x:v>
      </x:c>
      <x:c r="AD7" s="33" t="n">
        <x:v>22</x:v>
      </x:c>
      <x:c r="AE7" s="33" t="n">
        <x:v>13</x:v>
      </x:c>
    </x:row>
  </x:sheetData>
  <x:conditionalFormatting sqref="M2:M7">
    <x:cfRule type="colorScale" priority="1">
      <x:colorScale>
        <x:cfvo type="min"/>
        <x:cfvo type="percentile" val="55"/>
        <x:cfvo type="max"/>
        <x:color rgb="FFE8F5EF"/>
        <x:color rgb="FFFFF2D9"/>
        <x:color rgb="FFFAE6E2"/>
      </x:colorScale>
    </x:cfRule>
  </x:conditionalFormatting>
  <x:dataValidations count="2">
    <x:dataValidation type="list" sqref="C2:C7">
      <x:formula1>"Singapore,Japan"</x:formula1>
    </x:dataValidation>
    <x:dataValidation type="list" sqref="D2:D7">
      <x:formula1>"Office,Retail,Logistics"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.329999923706055" hidden="0" customWidth="1"/>
    <x:col min="3" max="3" width="7.78000020980835" hidden="0" customWidth="1"/>
    <x:col min="4" max="4" width="68.88999938964844" hidden="0" customWidth="1"/>
    <x:col min="7" max="7" width="40" hidden="0" customWidth="1"/>
    <x:col min="6" max="6" width="13.4399995803833" hidden="0" customWidth="1"/>
  </x:cols>
  <x:sheetData>
    <x:row r="1">
      <x:c r="A1" s="3" t="str">
        <x:v>Field</x:v>
      </x:c>
      <x:c r="B1" s="3" t="str">
        <x:v>Role</x:v>
      </x:c>
      <x:c r="C1" s="3" t="str">
        <x:v>Editable?</x:v>
      </x:c>
      <x:c r="D1" s="3" t="str">
        <x:v>Definition / Calculation</x:v>
      </x:c>
      <x:c r="F1" s="29" t="str">
        <x:v>Legend</x:v>
      </x:c>
    </x:row>
    <x:row r="2">
      <x:c r="A2" s="8" t="str">
        <x:v>name</x:v>
      </x:c>
      <x:c r="B2" s="27" t="str">
        <x:v>Input</x:v>
      </x:c>
      <x:c r="C2" s="27" t="str">
        <x:v>Yes</x:v>
      </x:c>
      <x:c r="D2" s="8" t="str">
        <x:v>Full asset name.</x:v>
      </x:c>
      <x:c r="F2" s="30" t="str">
        <x:v>Editable input</x:v>
      </x:c>
      <x:c r="G2" t="str">
        <x:v>Pale yellow cells can be changed.</x:v>
      </x:c>
    </x:row>
    <x:row r="3">
      <x:c r="A3" s="8" t="str">
        <x:v>label</x:v>
      </x:c>
      <x:c r="B3" s="27" t="str">
        <x:v>Input</x:v>
      </x:c>
      <x:c r="C3" s="27" t="str">
        <x:v>Yes</x:v>
      </x:c>
      <x:c r="D3" s="8" t="str">
        <x:v>Short asset label used in charts and tiles.</x:v>
      </x:c>
      <x:c r="F3" s="31" t="str">
        <x:v>Calculated output</x:v>
      </x:c>
      <x:c r="G3" t="str">
        <x:v>Pale blue cells are formula-driven and locked.</x:v>
      </x:c>
    </x:row>
    <x:row r="4">
      <x:c r="A4" s="8" t="str">
        <x:v>country</x:v>
      </x:c>
      <x:c r="B4" s="27" t="str">
        <x:v>Input</x:v>
      </x:c>
      <x:c r="C4" s="27" t="str">
        <x:v>Yes</x:v>
      </x:c>
      <x:c r="D4" s="8" t="str">
        <x:v>Country grouping.</x:v>
      </x:c>
    </x:row>
    <x:row r="5">
      <x:c r="A5" s="8" t="str">
        <x:v>type</x:v>
      </x:c>
      <x:c r="B5" s="27" t="str">
        <x:v>Input</x:v>
      </x:c>
      <x:c r="C5" s="27" t="str">
        <x:v>Yes</x:v>
      </x:c>
      <x:c r="D5" s="8" t="str">
        <x:v>Asset type. Office includes business park assets in the dashboard.</x:v>
      </x:c>
    </x:row>
    <x:row r="6">
      <x:c r="A6" s="8" t="str">
        <x:v>gfa</x:v>
      </x:c>
      <x:c r="B6" s="27" t="str">
        <x:v>Input</x:v>
      </x:c>
      <x:c r="C6" s="27" t="str">
        <x:v>Yes</x:v>
      </x:c>
      <x:c r="D6" s="8" t="str">
        <x:v>Gross floor area.</x:v>
      </x:c>
    </x:row>
    <x:row r="7">
      <x:c r="A7" s="8" t="str">
        <x:v>nla</x:v>
      </x:c>
      <x:c r="B7" s="27" t="str">
        <x:v>Input</x:v>
      </x:c>
      <x:c r="C7" s="27" t="str">
        <x:v>Yes</x:v>
      </x:c>
      <x:c r="D7" s="8" t="str">
        <x:v>Net lettable area.</x:v>
      </x:c>
    </x:row>
    <x:row r="8">
      <x:c r="A8" s="8" t="str">
        <x:v>opex_m</x:v>
      </x:c>
      <x:c r="B8" s="27" t="str">
        <x:v>Input</x:v>
      </x:c>
      <x:c r="C8" s="27" t="str">
        <x:v>Yes</x:v>
      </x:c>
      <x:c r="D8" s="8" t="str">
        <x:v>Monthly or period operating cost, in millions.</x:v>
      </x:c>
    </x:row>
    <x:row r="9">
      <x:c r="A9" s="8" t="str">
        <x:v>energy_gwh</x:v>
      </x:c>
      <x:c r="B9" s="27" t="str">
        <x:v>Input</x:v>
      </x:c>
      <x:c r="C9" s="27" t="str">
        <x:v>Yes</x:v>
      </x:c>
      <x:c r="D9" s="8" t="str">
        <x:v>Energy consumption, in GWh.</x:v>
      </x:c>
    </x:row>
    <x:row r="10">
      <x:c r="A10" s="11" t="str">
        <x:v>cost_sqm</x:v>
      </x:c>
      <x:c r="B10" s="28" t="str">
        <x:v>Calculated output</x:v>
      </x:c>
      <x:c r="C10" s="28" t="str">
        <x:v>No</x:v>
      </x:c>
      <x:c r="D10" s="11" t="str">
        <x:v>Calculated as opex_m x 1,000,000 / NLA.</x:v>
      </x:c>
    </x:row>
    <x:row r="11">
      <x:c r="A11" s="11" t="str">
        <x:v>kwh_sqm</x:v>
      </x:c>
      <x:c r="B11" s="28" t="str">
        <x:v>Calculated output</x:v>
      </x:c>
      <x:c r="C11" s="28" t="str">
        <x:v>No</x:v>
      </x:c>
      <x:c r="D11" s="11" t="str">
        <x:v>Calculated as energy_gwh x 1,000,000 / NLA.</x:v>
      </x:c>
    </x:row>
    <x:row r="12">
      <x:c r="A12" s="8" t="str">
        <x:v>prev_cost_sqm</x:v>
      </x:c>
      <x:c r="B12" s="27" t="str">
        <x:v>Input</x:v>
      </x:c>
      <x:c r="C12" s="27" t="str">
        <x:v>Yes</x:v>
      </x:c>
      <x:c r="D12" s="8" t="str">
        <x:v>Previous FY cost intensity baseline.</x:v>
      </x:c>
    </x:row>
    <x:row r="13">
      <x:c r="A13" s="8" t="str">
        <x:v>prev_kwh_sqm</x:v>
      </x:c>
      <x:c r="B13" s="27" t="str">
        <x:v>Input</x:v>
      </x:c>
      <x:c r="C13" s="27" t="str">
        <x:v>Yes</x:v>
      </x:c>
      <x:c r="D13" s="8" t="str">
        <x:v>Previous FY energy intensity baseline.</x:v>
      </x:c>
    </x:row>
    <x:row r="14">
      <x:c r="A14" s="11" t="str">
        <x:v>score</x:v>
      </x:c>
      <x:c r="B14" s="28" t="str">
        <x:v>Calculated output</x:v>
      </x:c>
      <x:c r="C14" s="28" t="str">
        <x:v>No</x:v>
      </x:c>
      <x:c r="D14" s="11" t="str">
        <x:v>Calculated pressure score from cost intensity, energy intensity and YoY pressure.</x:v>
      </x:c>
    </x:row>
    <x:row r="15">
      <x:c r="A15" s="11" t="str">
        <x:v>status</x:v>
      </x:c>
      <x:c r="B15" s="28" t="str">
        <x:v>Calculated output</x:v>
      </x:c>
      <x:c r="C15" s="28" t="str">
        <x:v>No</x:v>
      </x:c>
      <x:c r="D15" s="11" t="str">
        <x:v>Calculated traffic-light status from score: hot &gt;=75, warn &gt;=55, otherwise good.</x:v>
      </x:c>
    </x:row>
    <x:row r="16">
      <x:c r="A16" s="8" t="str">
        <x:v>trend_jun</x:v>
      </x:c>
      <x:c r="B16" s="27" t="str">
        <x:v>Input</x:v>
      </x:c>
      <x:c r="C16" s="27" t="str">
        <x:v>Yes</x:v>
      </x:c>
      <x:c r="D16" s="8" t="str">
        <x:v>Monthly heat / pressure index input for the last 12-month sparkline.</x:v>
      </x:c>
    </x:row>
    <x:row r="17">
      <x:c r="A17" s="8" t="str">
        <x:v>trend_jul</x:v>
      </x:c>
      <x:c r="B17" s="27" t="str">
        <x:v>Input</x:v>
      </x:c>
      <x:c r="C17" s="27" t="str">
        <x:v>Yes</x:v>
      </x:c>
      <x:c r="D17" s="8" t="str">
        <x:v>Monthly heat / pressure index input for the last 12-month sparkline.</x:v>
      </x:c>
    </x:row>
    <x:row r="18">
      <x:c r="A18" s="8" t="str">
        <x:v>trend_aug</x:v>
      </x:c>
      <x:c r="B18" s="27" t="str">
        <x:v>Input</x:v>
      </x:c>
      <x:c r="C18" s="27" t="str">
        <x:v>Yes</x:v>
      </x:c>
      <x:c r="D18" s="8" t="str">
        <x:v>Monthly heat / pressure index input for the last 12-month sparkline.</x:v>
      </x:c>
    </x:row>
    <x:row r="19">
      <x:c r="A19" s="8" t="str">
        <x:v>trend_sep</x:v>
      </x:c>
      <x:c r="B19" s="27" t="str">
        <x:v>Input</x:v>
      </x:c>
      <x:c r="C19" s="27" t="str">
        <x:v>Yes</x:v>
      </x:c>
      <x:c r="D19" s="8" t="str">
        <x:v>Monthly heat / pressure index input for the last 12-month sparkline.</x:v>
      </x:c>
    </x:row>
    <x:row r="20">
      <x:c r="A20" s="8" t="str">
        <x:v>trend_oct</x:v>
      </x:c>
      <x:c r="B20" s="27" t="str">
        <x:v>Input</x:v>
      </x:c>
      <x:c r="C20" s="27" t="str">
        <x:v>Yes</x:v>
      </x:c>
      <x:c r="D20" s="8" t="str">
        <x:v>Monthly heat / pressure index input for the last 12-month sparkline.</x:v>
      </x:c>
    </x:row>
    <x:row r="21">
      <x:c r="A21" s="8" t="str">
        <x:v>trend_nov</x:v>
      </x:c>
      <x:c r="B21" s="27" t="str">
        <x:v>Input</x:v>
      </x:c>
      <x:c r="C21" s="27" t="str">
        <x:v>Yes</x:v>
      </x:c>
      <x:c r="D21" s="8" t="str">
        <x:v>Monthly heat / pressure index input for the last 12-month sparkline.</x:v>
      </x:c>
    </x:row>
    <x:row r="22">
      <x:c r="A22" s="8" t="str">
        <x:v>trend_dec</x:v>
      </x:c>
      <x:c r="B22" s="27" t="str">
        <x:v>Input</x:v>
      </x:c>
      <x:c r="C22" s="27" t="str">
        <x:v>Yes</x:v>
      </x:c>
      <x:c r="D22" s="8" t="str">
        <x:v>Monthly heat / pressure index input for the last 12-month sparkline.</x:v>
      </x:c>
    </x:row>
    <x:row r="23">
      <x:c r="A23" s="8" t="str">
        <x:v>trend_jan</x:v>
      </x:c>
      <x:c r="B23" s="27" t="str">
        <x:v>Input</x:v>
      </x:c>
      <x:c r="C23" s="27" t="str">
        <x:v>Yes</x:v>
      </x:c>
      <x:c r="D23" s="8" t="str">
        <x:v>Monthly heat / pressure index input for the last 12-month sparkline.</x:v>
      </x:c>
    </x:row>
    <x:row r="24">
      <x:c r="A24" s="8" t="str">
        <x:v>trend_feb</x:v>
      </x:c>
      <x:c r="B24" s="27" t="str">
        <x:v>Input</x:v>
      </x:c>
      <x:c r="C24" s="27" t="str">
        <x:v>Yes</x:v>
      </x:c>
      <x:c r="D24" s="8" t="str">
        <x:v>Monthly heat / pressure index input for the last 12-month sparkline.</x:v>
      </x:c>
    </x:row>
    <x:row r="25">
      <x:c r="A25" s="8" t="str">
        <x:v>trend_mar</x:v>
      </x:c>
      <x:c r="B25" s="27" t="str">
        <x:v>Input</x:v>
      </x:c>
      <x:c r="C25" s="27" t="str">
        <x:v>Yes</x:v>
      </x:c>
      <x:c r="D25" s="8" t="str">
        <x:v>Monthly heat / pressure index input for the last 12-month sparkline.</x:v>
      </x:c>
    </x:row>
    <x:row r="26">
      <x:c r="A26" s="8" t="str">
        <x:v>trend_apr</x:v>
      </x:c>
      <x:c r="B26" s="27" t="str">
        <x:v>Input</x:v>
      </x:c>
      <x:c r="C26" s="27" t="str">
        <x:v>Yes</x:v>
      </x:c>
      <x:c r="D26" s="8" t="str">
        <x:v>Monthly heat / pressure index input for the last 12-month sparkline.</x:v>
      </x:c>
    </x:row>
    <x:row r="27">
      <x:c r="A27" s="8" t="str">
        <x:v>trend_may</x:v>
      </x:c>
      <x:c r="B27" s="27" t="str">
        <x:v>Input</x:v>
      </x:c>
      <x:c r="C27" s="27" t="str">
        <x:v>Yes</x:v>
      </x:c>
      <x:c r="D27" s="8" t="str">
        <x:v>Monthly heat / pressure index input for the last 12-month sparkline.</x:v>
      </x:c>
    </x:row>
    <x:row r="28">
      <x:c r="A28" s="8" t="str">
        <x:v>cost_energy_pct</x:v>
      </x:c>
      <x:c r="B28" s="27" t="str">
        <x:v>Input</x:v>
      </x:c>
      <x:c r="C28" s="27" t="str">
        <x:v>Yes</x:v>
      </x:c>
      <x:c r="D28" s="8" t="str">
        <x:v>Cost composition percentage input.</x:v>
      </x:c>
    </x:row>
    <x:row r="29">
      <x:c r="A29" s="8" t="str">
        <x:v>cost_cleaning_pct</x:v>
      </x:c>
      <x:c r="B29" s="27" t="str">
        <x:v>Input</x:v>
      </x:c>
      <x:c r="C29" s="27" t="str">
        <x:v>Yes</x:v>
      </x:c>
      <x:c r="D29" s="8" t="str">
        <x:v>Cost composition percentage input.</x:v>
      </x:c>
    </x:row>
    <x:row r="30">
      <x:c r="A30" s="8" t="str">
        <x:v>cost_security_pct</x:v>
      </x:c>
      <x:c r="B30" s="27" t="str">
        <x:v>Input</x:v>
      </x:c>
      <x:c r="C30" s="27" t="str">
        <x:v>Yes</x:v>
      </x:c>
      <x:c r="D30" s="8" t="str">
        <x:v>Cost composition percentage input.</x:v>
      </x:c>
    </x:row>
    <x:row r="31">
      <x:c r="A31" s="8" t="str">
        <x:v>cost_maintenance_pct</x:v>
      </x:c>
      <x:c r="B31" s="27" t="str">
        <x:v>Input</x:v>
      </x:c>
      <x:c r="C31" s="27" t="str">
        <x:v>Yes</x:v>
      </x:c>
      <x:c r="D31" s="8" t="str">
        <x:v>Cost composition percentage input.</x:v>
      </x:c>
    </x:row>
    <x:row r="32">
      <x:c r="A32" s="8" t="str">
        <x:v>cost_other_pct</x:v>
      </x:c>
      <x:c r="B32" s="27" t="str">
        <x:v>Input</x:v>
      </x:c>
      <x:c r="C32" s="27" t="str">
        <x:v>Yes</x:v>
      </x:c>
      <x:c r="D32" s="8" t="str">
        <x:v>Cost composition percentage input.</x:v>
      </x:c>
    </x:row>
  </x:sheetData>
  <x:pageMargins left="0.7" right="0.7" top="0.75" bottom="0.75" header="0.3" footer="0.3"/>
</x:worksheet>
</file>